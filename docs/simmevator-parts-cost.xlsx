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4" fontId="3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F8TSW1WZ" TargetMode="External" Id="rId1" /><Relationship Type="http://schemas.openxmlformats.org/officeDocument/2006/relationships/hyperlink" Target="https://www.amazon.com/dp/B0C6CKWXYR" TargetMode="External" Id="rId2" /><Relationship Type="http://schemas.openxmlformats.org/officeDocument/2006/relationships/hyperlink" Target="https://www.amazon.com/dp/B0F9W5CTYT" TargetMode="External" Id="rId3" /><Relationship Type="http://schemas.openxmlformats.org/officeDocument/2006/relationships/hyperlink" Target="https://www.amazon.com/dp/B0DYNN76TH" TargetMode="External" Id="rId4" /><Relationship Type="http://schemas.openxmlformats.org/officeDocument/2006/relationships/hyperlink" Target="https://www.amazon.com/dp/B0B779ZYN1" TargetMode="External" Id="rId5" /><Relationship Type="http://schemas.openxmlformats.org/officeDocument/2006/relationships/hyperlink" Target="https://www.amazon.com/dp/B0B8GNKV2C" TargetMode="External" Id="rId6" /><Relationship Type="http://schemas.openxmlformats.org/officeDocument/2006/relationships/hyperlink" Target="https://www.amazon.com/dp/B0D411N89G" TargetMode="External" Id="rId7" /><Relationship Type="http://schemas.openxmlformats.org/officeDocument/2006/relationships/hyperlink" Target="https://www.amazon.com/dp/B0FWKMJX4K" TargetMode="External" Id="rId8" /><Relationship Type="http://schemas.openxmlformats.org/officeDocument/2006/relationships/hyperlink" Target="https://www.amazon.com/dp/B0FJQ6RK39" TargetMode="External" Id="rId9" /><Relationship Type="http://schemas.openxmlformats.org/officeDocument/2006/relationships/hyperlink" Target="https://www.amazon.com/dp/B0751VFF2X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36" customWidth="1" min="3" max="3"/>
    <col width="9" customWidth="1" min="4" max="4"/>
    <col width="12" customWidth="1" min="5" max="5"/>
    <col width="8" customWidth="1" min="6" max="6"/>
    <col width="9" customWidth="1" min="7" max="7"/>
    <col width="9" customWidth="1" min="8" max="8"/>
    <col width="7" customWidth="1" min="9" max="9"/>
    <col width="13" customWidth="1" min="10" max="10"/>
    <col width="12" customWidth="1" min="11" max="11"/>
  </cols>
  <sheetData>
    <row r="1">
      <c r="A1" s="1" t="inlineStr">
        <is>
          <t>Simmevator Parts List</t>
        </is>
      </c>
    </row>
    <row r="3" ht="30" customHeight="1">
      <c r="A3" s="2" t="inlineStr">
        <is>
          <t>#</t>
        </is>
      </c>
      <c r="B3" s="2" t="inlineStr">
        <is>
          <t>Item</t>
        </is>
      </c>
      <c r="C3" s="2" t="inlineStr">
        <is>
          <t>Link</t>
        </is>
      </c>
      <c r="D3" s="2" t="inlineStr">
        <is>
          <t>Units per Pack</t>
        </is>
      </c>
      <c r="E3" s="2" t="inlineStr">
        <is>
          <t>Transmitter</t>
        </is>
      </c>
      <c r="F3" s="2" t="inlineStr">
        <is>
          <t>Bridge</t>
        </is>
      </c>
      <c r="G3" s="2" t="inlineStr">
        <is>
          <t>Displays</t>
        </is>
      </c>
      <c r="H3" s="2" t="inlineStr">
        <is>
          <t>Units Needed</t>
        </is>
      </c>
      <c r="I3" s="2" t="inlineStr">
        <is>
          <t>Packs</t>
        </is>
      </c>
      <c r="J3" s="2" t="inlineStr">
        <is>
          <t>Price per Pack</t>
        </is>
      </c>
      <c r="K3" s="2" t="inlineStr">
        <is>
          <t>Total</t>
        </is>
      </c>
    </row>
    <row r="4">
      <c r="A4" s="3" t="n">
        <v>1</v>
      </c>
      <c r="B4" s="4" t="inlineStr">
        <is>
          <t>Seeed Studio XIAO ESP32S3 &amp; Wio-SX1262 LoRa Kit</t>
        </is>
      </c>
      <c r="C4" s="5" t="inlineStr">
        <is>
          <t>https://www.amazon.com/dp/B0F8TSW1WZ</t>
        </is>
      </c>
      <c r="D4" s="3" t="n">
        <v>1</v>
      </c>
      <c r="E4" s="3" t="n">
        <v>1</v>
      </c>
      <c r="F4" s="3" t="n">
        <v>1</v>
      </c>
      <c r="G4" s="3" t="n">
        <v>0</v>
      </c>
      <c r="H4" s="3">
        <f>E4+F4+G4</f>
        <v/>
      </c>
      <c r="I4" s="3">
        <f>ROUNDUP(H4/D4,0)</f>
        <v/>
      </c>
      <c r="J4" s="6" t="n">
        <v>18.99</v>
      </c>
      <c r="K4" s="6">
        <f>I4*J4</f>
        <v/>
      </c>
    </row>
    <row r="5">
      <c r="A5" s="3" t="n">
        <v>2</v>
      </c>
      <c r="B5" s="4" t="inlineStr">
        <is>
          <t>CJMCU-390 BMP390 Barometric Pressure Sensor</t>
        </is>
      </c>
      <c r="C5" s="5" t="inlineStr">
        <is>
          <t>https://www.amazon.com/dp/B0C6CKWXYR</t>
        </is>
      </c>
      <c r="D5" s="3" t="n">
        <v>1</v>
      </c>
      <c r="E5" s="3" t="n">
        <v>1</v>
      </c>
      <c r="F5" s="3" t="n">
        <v>0</v>
      </c>
      <c r="G5" s="3" t="n">
        <v>0</v>
      </c>
      <c r="H5" s="3">
        <f>E5+F5+G5</f>
        <v/>
      </c>
      <c r="I5" s="3">
        <f>ROUNDUP(H5/D5,0)</f>
        <v/>
      </c>
      <c r="J5" s="6" t="n">
        <v>14.99</v>
      </c>
      <c r="K5" s="6">
        <f>I5*J5</f>
        <v/>
      </c>
    </row>
    <row r="6">
      <c r="A6" s="3" t="n">
        <v>3</v>
      </c>
      <c r="B6" s="4" t="inlineStr">
        <is>
          <t>12V 10Ah LiFePO4 Battery</t>
        </is>
      </c>
      <c r="C6" s="5" t="inlineStr">
        <is>
          <t>https://www.amazon.com/dp/B0F9W5CTYT</t>
        </is>
      </c>
      <c r="D6" s="3" t="n">
        <v>1</v>
      </c>
      <c r="E6" s="3" t="n">
        <v>1</v>
      </c>
      <c r="F6" s="3" t="n">
        <v>0</v>
      </c>
      <c r="G6" s="3" t="n">
        <v>0</v>
      </c>
      <c r="H6" s="3">
        <f>E6+F6+G6</f>
        <v/>
      </c>
      <c r="I6" s="3">
        <f>ROUNDUP(H6/D6,0)</f>
        <v/>
      </c>
      <c r="J6" s="6" t="n">
        <v>34.99</v>
      </c>
      <c r="K6" s="6">
        <f>I6*J6</f>
        <v/>
      </c>
    </row>
    <row r="7">
      <c r="A7" s="3" t="n">
        <v>4</v>
      </c>
      <c r="B7" s="4" t="inlineStr">
        <is>
          <t>PZ.P 15A 12V/24V Smart Battery Charger (LiFePO4)</t>
        </is>
      </c>
      <c r="C7" s="5" t="inlineStr">
        <is>
          <t>https://www.amazon.com/dp/B0DYNN76TH</t>
        </is>
      </c>
      <c r="D7" s="3" t="n">
        <v>1</v>
      </c>
      <c r="E7" s="3" t="n">
        <v>1</v>
      </c>
      <c r="F7" s="3" t="n">
        <v>0</v>
      </c>
      <c r="G7" s="3" t="n">
        <v>0</v>
      </c>
      <c r="H7" s="3">
        <f>E7+F7+G7</f>
        <v/>
      </c>
      <c r="I7" s="3">
        <f>ROUNDUP(H7/D7,0)</f>
        <v/>
      </c>
      <c r="J7" s="6" t="n">
        <v>29.99</v>
      </c>
      <c r="K7" s="6">
        <f>I7*J7</f>
        <v/>
      </c>
    </row>
    <row r="8">
      <c r="A8" s="3" t="n">
        <v>5</v>
      </c>
      <c r="B8" s="4" t="inlineStr">
        <is>
          <t>MP1584EN 5V Buck Converter (5 pcs)</t>
        </is>
      </c>
      <c r="C8" s="5" t="inlineStr">
        <is>
          <t>https://www.amazon.com/dp/B0B779ZYN1</t>
        </is>
      </c>
      <c r="D8" s="3" t="n">
        <v>5</v>
      </c>
      <c r="E8" s="3" t="n">
        <v>1</v>
      </c>
      <c r="F8" s="3" t="n">
        <v>0</v>
      </c>
      <c r="G8" s="3" t="n">
        <v>0</v>
      </c>
      <c r="H8" s="3">
        <f>E8+F8+G8</f>
        <v/>
      </c>
      <c r="I8" s="3">
        <f>ROUNDUP(H8/D8,0)</f>
        <v/>
      </c>
      <c r="J8" s="6" t="n">
        <v>8.99</v>
      </c>
      <c r="K8" s="6">
        <f>I8*J8</f>
        <v/>
      </c>
    </row>
    <row r="9">
      <c r="A9" s="3" t="n">
        <v>6</v>
      </c>
      <c r="B9" s="4" t="inlineStr">
        <is>
          <t>Female Spade Battery Terminal Leads (6 pcs)</t>
        </is>
      </c>
      <c r="C9" s="5" t="inlineStr">
        <is>
          <t>https://www.amazon.com/dp/B0B8GNKV2C</t>
        </is>
      </c>
      <c r="D9" s="3" t="n">
        <v>6</v>
      </c>
      <c r="E9" s="3" t="n">
        <v>2</v>
      </c>
      <c r="F9" s="3" t="n">
        <v>0</v>
      </c>
      <c r="G9" s="3" t="n">
        <v>0</v>
      </c>
      <c r="H9" s="3">
        <f>E9+F9+G9</f>
        <v/>
      </c>
      <c r="I9" s="3">
        <f>ROUNDUP(H9/D9,0)</f>
        <v/>
      </c>
      <c r="J9" s="6" t="n">
        <v>11.99</v>
      </c>
      <c r="K9" s="6">
        <f>I9*J9</f>
        <v/>
      </c>
    </row>
    <row r="10">
      <c r="A10" s="3" t="n">
        <v>7</v>
      </c>
      <c r="B10" s="4" t="inlineStr">
        <is>
          <t>USB-C 20W Wall Charger (4 pack)</t>
        </is>
      </c>
      <c r="C10" s="5" t="inlineStr">
        <is>
          <t>https://www.amazon.com/dp/B0D411N89G</t>
        </is>
      </c>
      <c r="D10" s="3" t="n">
        <v>4</v>
      </c>
      <c r="E10" s="3" t="n">
        <v>0</v>
      </c>
      <c r="F10" s="3" t="n">
        <v>1</v>
      </c>
      <c r="G10" s="3" t="n">
        <v>10</v>
      </c>
      <c r="H10" s="3">
        <f>E10+F10+G10</f>
        <v/>
      </c>
      <c r="I10" s="3">
        <f>ROUNDUP(H10/D10,0)</f>
        <v/>
      </c>
      <c r="J10" s="6" t="n">
        <v>12.99</v>
      </c>
      <c r="K10" s="6">
        <f>I10*J10</f>
        <v/>
      </c>
    </row>
    <row r="11">
      <c r="A11" s="3" t="n">
        <v>8</v>
      </c>
      <c r="B11" s="4" t="inlineStr">
        <is>
          <t>USB-C to USB-C Cable (5 pack)</t>
        </is>
      </c>
      <c r="C11" s="5" t="inlineStr">
        <is>
          <t>https://www.amazon.com/dp/B0FWKMJX4K</t>
        </is>
      </c>
      <c r="D11" s="3" t="n">
        <v>5</v>
      </c>
      <c r="E11" s="3" t="n">
        <v>1</v>
      </c>
      <c r="F11" s="3" t="n">
        <v>1</v>
      </c>
      <c r="G11" s="3" t="n">
        <v>10</v>
      </c>
      <c r="H11" s="3">
        <f>E11+F11+G11</f>
        <v/>
      </c>
      <c r="I11" s="3">
        <f>ROUNDUP(H11/D11,0)</f>
        <v/>
      </c>
      <c r="J11" s="6" t="n">
        <v>7.99</v>
      </c>
      <c r="K11" s="6">
        <f>I11*J11</f>
        <v/>
      </c>
    </row>
    <row r="12">
      <c r="A12" s="3" t="n">
        <v>9</v>
      </c>
      <c r="B12" s="4" t="inlineStr">
        <is>
          <t>ELEGOO ESP32 2.8" Touch Display (2 pack)</t>
        </is>
      </c>
      <c r="C12" s="5" t="inlineStr">
        <is>
          <t>https://www.amazon.com/dp/B0FJQ6RK39</t>
        </is>
      </c>
      <c r="D12" s="3" t="n">
        <v>2</v>
      </c>
      <c r="E12" s="3" t="n">
        <v>0</v>
      </c>
      <c r="F12" s="3" t="n">
        <v>0</v>
      </c>
      <c r="G12" s="3" t="n">
        <v>10</v>
      </c>
      <c r="H12" s="3">
        <f>E12+F12+G12</f>
        <v/>
      </c>
      <c r="I12" s="3">
        <f>ROUNDUP(H12/D12,0)</f>
        <v/>
      </c>
      <c r="J12" s="6" t="n">
        <v>26.99</v>
      </c>
      <c r="K12" s="6">
        <f>I12*J12</f>
        <v/>
      </c>
    </row>
    <row r="13">
      <c r="A13" s="3" t="n">
        <v>10</v>
      </c>
      <c r="B13" s="4" t="inlineStr">
        <is>
          <t>Command Poster Strips (64 strips)</t>
        </is>
      </c>
      <c r="C13" s="5" t="inlineStr">
        <is>
          <t>https://www.amazon.com/dp/B0751VFF2X</t>
        </is>
      </c>
      <c r="D13" s="3" t="n">
        <v>64</v>
      </c>
      <c r="E13" s="3" t="n">
        <v>0</v>
      </c>
      <c r="F13" s="3" t="n">
        <v>0</v>
      </c>
      <c r="G13" s="3" t="n">
        <v>40</v>
      </c>
      <c r="H13" s="3">
        <f>E13+F13+G13</f>
        <v/>
      </c>
      <c r="I13" s="3">
        <f>ROUNDUP(H13/D13,0)</f>
        <v/>
      </c>
      <c r="J13" s="6" t="n">
        <v>10.99</v>
      </c>
      <c r="K13" s="6">
        <f>I13*J13</f>
        <v/>
      </c>
    </row>
    <row r="15">
      <c r="I15" s="7" t="inlineStr">
        <is>
          <t>Subtotal</t>
        </is>
      </c>
      <c r="K15" s="8">
        <f>SUM(K4:K13)</f>
        <v/>
      </c>
    </row>
    <row r="16">
      <c r="I16" s="7" t="inlineStr">
        <is>
          <t>Sales Tax Rate (Boston, MA)</t>
        </is>
      </c>
      <c r="K16" s="9" t="n">
        <v>0.0625</v>
      </c>
    </row>
    <row r="17">
      <c r="I17" s="7" t="inlineStr">
        <is>
          <t>Sales Tax</t>
        </is>
      </c>
      <c r="K17" s="8">
        <f>ROUND(K15*K16,2)</f>
        <v/>
      </c>
    </row>
    <row r="18">
      <c r="I18" s="10" t="inlineStr">
        <is>
          <t>Total</t>
        </is>
      </c>
      <c r="K18" s="11">
        <f>K15+K17</f>
        <v/>
      </c>
    </row>
  </sheetData>
  <mergeCells count="4">
    <mergeCell ref="I16:J16"/>
    <mergeCell ref="I15:J15"/>
    <mergeCell ref="I17:J17"/>
    <mergeCell ref="I18:J18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2026-09-16T22:33:09Z</dcterms:created>
  <dcterms:modified xsi:type="dcterms:W3CDTF">2026-09-16T22:33:09Z</dcterms:modified>
</cp:coreProperties>
</file>